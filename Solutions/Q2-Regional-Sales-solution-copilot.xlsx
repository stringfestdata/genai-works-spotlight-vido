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eorg\Documents\GitHub\genai-works-spotlight-vido\Solutions\"/>
    </mc:Choice>
  </mc:AlternateContent>
  <xr:revisionPtr revIDLastSave="0" documentId="13_ncr:1_{67B3357F-C15D-4D65-B674-0AB6A6AC1D3E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Q2 Export" sheetId="1" r:id="rId1"/>
    <sheet name="Region Summary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I2" i="1" a="1"/>
  <c r="I2" i="1" s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<sst xmlns="http://schemas.openxmlformats.org/spreadsheetml/2006/main" count="324" uniqueCount="155">
  <si>
    <t>Transaction ID</t>
  </si>
  <si>
    <t>Date</t>
  </si>
  <si>
    <t>Region</t>
  </si>
  <si>
    <t>Sales Rep</t>
  </si>
  <si>
    <t>Customer</t>
  </si>
  <si>
    <t>Product</t>
  </si>
  <si>
    <t>Amount</t>
  </si>
  <si>
    <t>Status</t>
  </si>
  <si>
    <t>TXN-1001</t>
  </si>
  <si>
    <t>6/2/2026</t>
  </si>
  <si>
    <t>North</t>
  </si>
  <si>
    <t>Maria Lopez</t>
  </si>
  <si>
    <t>Acme Corp</t>
  </si>
  <si>
    <t>Pro License</t>
  </si>
  <si>
    <t>$4,250.00</t>
  </si>
  <si>
    <t>Closed</t>
  </si>
  <si>
    <t>TXN-1002</t>
  </si>
  <si>
    <t>2026-06-02</t>
  </si>
  <si>
    <t>south</t>
  </si>
  <si>
    <t>James  Carter</t>
  </si>
  <si>
    <t xml:space="preserve"> Globex Inc </t>
  </si>
  <si>
    <t>Starter Plan</t>
  </si>
  <si>
    <t>TXN-1003</t>
  </si>
  <si>
    <t>June 3, 2026</t>
  </si>
  <si>
    <t>N.</t>
  </si>
  <si>
    <t>priya nair</t>
  </si>
  <si>
    <t>Initech</t>
  </si>
  <si>
    <t>Enterprise</t>
  </si>
  <si>
    <t>$12,000.00</t>
  </si>
  <si>
    <t>TXN-1004</t>
  </si>
  <si>
    <t>6/3/2026</t>
  </si>
  <si>
    <t>WEST</t>
  </si>
  <si>
    <t>Umbrella  LLC</t>
  </si>
  <si>
    <t>Pro  License</t>
  </si>
  <si>
    <t>closed</t>
  </si>
  <si>
    <t>TXN-1005</t>
  </si>
  <si>
    <t>2026-06-04</t>
  </si>
  <si>
    <t>East</t>
  </si>
  <si>
    <t>Devon Brooks</t>
  </si>
  <si>
    <t xml:space="preserve">Acme Corp </t>
  </si>
  <si>
    <t>Add-on Seats</t>
  </si>
  <si>
    <t>TXN-1006</t>
  </si>
  <si>
    <t>6/4/2026</t>
  </si>
  <si>
    <t>north</t>
  </si>
  <si>
    <t>James Carter</t>
  </si>
  <si>
    <t>Soylent Co</t>
  </si>
  <si>
    <t>$1,100.00</t>
  </si>
  <si>
    <t>Pending</t>
  </si>
  <si>
    <t>TXN-1007</t>
  </si>
  <si>
    <t>June 5, 2026</t>
  </si>
  <si>
    <t>S.</t>
  </si>
  <si>
    <t>Priya Nair</t>
  </si>
  <si>
    <t>Globex Inc</t>
  </si>
  <si>
    <t>TXN-1008</t>
  </si>
  <si>
    <t>6/5/2026</t>
  </si>
  <si>
    <t xml:space="preserve"> West </t>
  </si>
  <si>
    <t>devon brooks</t>
  </si>
  <si>
    <t xml:space="preserve">Initech </t>
  </si>
  <si>
    <t>TXN-1009</t>
  </si>
  <si>
    <t>2026-06-08</t>
  </si>
  <si>
    <t>Maria  Lopez</t>
  </si>
  <si>
    <t>Hooli</t>
  </si>
  <si>
    <t>$750.00</t>
  </si>
  <si>
    <t>TXN-1010</t>
  </si>
  <si>
    <t>6/8/2026</t>
  </si>
  <si>
    <t>TXN-1011</t>
  </si>
  <si>
    <t>June 9, 2026</t>
  </si>
  <si>
    <t>Umbrella LLC</t>
  </si>
  <si>
    <t>Starter  Plan</t>
  </si>
  <si>
    <t>TXN-1012</t>
  </si>
  <si>
    <t>6/9/2026</t>
  </si>
  <si>
    <t>E.</t>
  </si>
  <si>
    <t>Soylent  Co</t>
  </si>
  <si>
    <t>TXN-1013</t>
  </si>
  <si>
    <t>2026-06-10</t>
  </si>
  <si>
    <t>West</t>
  </si>
  <si>
    <t>maria lopez</t>
  </si>
  <si>
    <t>$11,000.00</t>
  </si>
  <si>
    <t>TXN-1014</t>
  </si>
  <si>
    <t>6/10/2026</t>
  </si>
  <si>
    <t>NORTH</t>
  </si>
  <si>
    <t xml:space="preserve">Hooli </t>
  </si>
  <si>
    <t>TXN-1015</t>
  </si>
  <si>
    <t>June 11, 2026</t>
  </si>
  <si>
    <t>South</t>
  </si>
  <si>
    <t>TXN-1016</t>
  </si>
  <si>
    <t>6/11/2026</t>
  </si>
  <si>
    <t>east</t>
  </si>
  <si>
    <t>Devon  Brooks</t>
  </si>
  <si>
    <t>TXN-1017</t>
  </si>
  <si>
    <t>2026-06-12</t>
  </si>
  <si>
    <t>W.</t>
  </si>
  <si>
    <t xml:space="preserve">Umbrella LLC </t>
  </si>
  <si>
    <t>$10,500.00</t>
  </si>
  <si>
    <t>TXN-1018</t>
  </si>
  <si>
    <t>6/12/2026</t>
  </si>
  <si>
    <t>james carter</t>
  </si>
  <si>
    <t>TXN-1019</t>
  </si>
  <si>
    <t>June 15, 2026</t>
  </si>
  <si>
    <t>Priya  Nair</t>
  </si>
  <si>
    <t>TXN-1020</t>
  </si>
  <si>
    <t>6/15/2026</t>
  </si>
  <si>
    <t>Globex  Inc</t>
  </si>
  <si>
    <t>TXN-1021</t>
  </si>
  <si>
    <t>2026-06-16</t>
  </si>
  <si>
    <t>west</t>
  </si>
  <si>
    <t>TXN-1022</t>
  </si>
  <si>
    <t>6/16/2026</t>
  </si>
  <si>
    <t xml:space="preserve">North </t>
  </si>
  <si>
    <t>Acme  Corp</t>
  </si>
  <si>
    <t>$13,500.00</t>
  </si>
  <si>
    <t>TXN-1023</t>
  </si>
  <si>
    <t>June 17, 2026</t>
  </si>
  <si>
    <t>TXN-1024</t>
  </si>
  <si>
    <t>6/17/2026</t>
  </si>
  <si>
    <t>EAST</t>
  </si>
  <si>
    <t xml:space="preserve">Soylent Co </t>
  </si>
  <si>
    <t>TXN-1025</t>
  </si>
  <si>
    <t>2026-06-18</t>
  </si>
  <si>
    <t>TXN-1026</t>
  </si>
  <si>
    <t>6/18/2026</t>
  </si>
  <si>
    <t>TXN-1027</t>
  </si>
  <si>
    <t>June 19, 2026</t>
  </si>
  <si>
    <t>TXN-1028</t>
  </si>
  <si>
    <t>6/19/2026</t>
  </si>
  <si>
    <t>TXN-1029</t>
  </si>
  <si>
    <t>2026-06-22</t>
  </si>
  <si>
    <t>TXN-1030</t>
  </si>
  <si>
    <t>6/22/2026</t>
  </si>
  <si>
    <t>TXN-1031</t>
  </si>
  <si>
    <t>June 23, 2026</t>
  </si>
  <si>
    <t>s.</t>
  </si>
  <si>
    <t>$11,500.00</t>
  </si>
  <si>
    <t>TXN-1032</t>
  </si>
  <si>
    <t>6/23/2026</t>
  </si>
  <si>
    <t>TXN-1033</t>
  </si>
  <si>
    <t>2026-06-24</t>
  </si>
  <si>
    <t xml:space="preserve">West </t>
  </si>
  <si>
    <t>TXN-1034</t>
  </si>
  <si>
    <t>6/24/2026</t>
  </si>
  <si>
    <t>TXN-1035</t>
  </si>
  <si>
    <t>June 25, 2026</t>
  </si>
  <si>
    <t>TXN-1036</t>
  </si>
  <si>
    <t>6/25/2026</t>
  </si>
  <si>
    <t>TXN-1037</t>
  </si>
  <si>
    <t>2026-06-26</t>
  </si>
  <si>
    <t>TXN-1038</t>
  </si>
  <si>
    <t>6/26/2026</t>
  </si>
  <si>
    <t>Region Clean</t>
  </si>
  <si>
    <t>Amount Clean</t>
  </si>
  <si>
    <t>Date Clean</t>
  </si>
  <si>
    <t>Duplicate?</t>
  </si>
  <si>
    <t>Row Labels</t>
  </si>
  <si>
    <t>Grand Total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</si>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</sst>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/>
    <xf numFmtId="164" fontId="0" fillId="4" borderId="0" xfId="0" applyNumberFormat="1" applyFill="1"/>
    <xf numFmtId="14" fontId="0" fillId="4" borderId="0" xfId="0" applyNumberFormat="1" applyFill="1"/>
  </cellXfs>
  <cellStyles count="1">
    <cellStyle name="Normal" xfId="0" builtinId="0"/>
  </cellStyles>
  <dxfs count="6">
    <dxf>
      <numFmt numFmtId="19" formatCode="m/d/yyyy"/>
      <fill>
        <patternFill patternType="solid">
          <fgColor indexed="64"/>
          <bgColor theme="0" tint="-4.9989318521683403E-2"/>
        </patternFill>
      </fill>
    </dxf>
    <dxf>
      <numFmt numFmtId="19" formatCode="m/d/yyyy"/>
      <fill>
        <patternFill patternType="solid">
          <fgColor indexed="64"/>
          <bgColor theme="0" tint="-4.9989318521683403E-2"/>
        </patternFill>
      </fill>
    </dxf>
    <dxf>
      <numFmt numFmtId="164" formatCode="&quot;$&quot;#,##0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4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D9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[Q2-Regional-Sales-solution-copilot.xlsx]Region Summary!RegionPivot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Summary'!$B$1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Summary'!$A$2:$A$6</c:f>
              <c:strCache>
                <c:ptCount val="4"/>
                <c:pt idx="0">
                  <c:v>South</c:v>
                </c:pt>
                <c:pt idx="1">
                  <c:v>North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'Region Summary'!$B$2:$B$6</c:f>
              <c:numCache>
                <c:formatCode>"$"#,##0</c:formatCode>
                <c:ptCount val="4"/>
                <c:pt idx="0">
                  <c:v>57950</c:v>
                </c:pt>
                <c:pt idx="1">
                  <c:v>46200</c:v>
                </c:pt>
                <c:pt idx="2">
                  <c:v>39300</c:v>
                </c:pt>
                <c:pt idx="3">
                  <c:v>25350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1-4672-9579-E649B7C57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1135695"/>
        <c:axId val="311133775"/>
      </c:barChart>
      <c:catAx>
        <c:axId val="311135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133775"/>
        <c:crosses val="autoZero"/>
        <c:auto val="1"/>
        <c:lblAlgn val="ctr"/>
        <c:lblOffset val="100"/>
        <c:noMultiLvlLbl val="0"/>
      </c:catAx>
      <c:valAx>
        <c:axId val="3111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135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RegionChart">
          <a:extLst>
            <a:ext uri="{FF2B5EF4-FFF2-40B4-BE49-F238E27FC236}">
              <a16:creationId xmlns:a16="http://schemas.microsoft.com/office/drawing/2014/main" id="{DD7629CF-6E2A-8603-A116-3D2ADA3F5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e Mount" refreshedDate="46203.420407638892" createdVersion="8" refreshedVersion="8" minRefreshableVersion="3" recordCount="40" xr:uid="{7915307A-96E9-4A95-BB4A-D7E012A99A52}">
  <cacheSource type="worksheet">
    <worksheetSource ref="A1:L41" sheet="Q2 Export"/>
  </cacheSource>
  <cacheFields count="12">
    <cacheField name="Transaction ID" numFmtId="0">
      <sharedItems/>
    </cacheField>
    <cacheField name="Date" numFmtId="0">
      <sharedItems/>
    </cacheField>
    <cacheField name="Region" numFmtId="0">
      <sharedItems/>
    </cacheField>
    <cacheField name="Sales Rep" numFmtId="0">
      <sharedItems/>
    </cacheField>
    <cacheField name="Customer" numFmtId="0">
      <sharedItems/>
    </cacheField>
    <cacheField name="Product" numFmtId="0">
      <sharedItems/>
    </cacheField>
    <cacheField name="Amount" numFmtId="0">
      <sharedItems containsBlank="1" containsMixedTypes="1" containsNumber="1" containsInteger="1" minValue="750" maxValue="14000"/>
    </cacheField>
    <cacheField name="Status" numFmtId="0">
      <sharedItems/>
    </cacheField>
    <cacheField name="Region Clean" numFmtId="0">
      <sharedItems count="4">
        <s v="North"/>
        <s v="South"/>
        <s v="West"/>
        <s v="East"/>
      </sharedItems>
    </cacheField>
    <cacheField name="Amount Clean" numFmtId="164">
      <sharedItems containsSemiMixedTypes="0" containsString="0" containsNumber="1" containsInteger="1" minValue="0" maxValue="14000"/>
    </cacheField>
    <cacheField name="Date Clean" numFmtId="14">
      <sharedItems containsSemiMixedTypes="0" containsNonDate="0" containsDate="1" containsString="0" minDate="2026-06-02T00:00:00" maxDate="2026-06-27T00:00:00"/>
    </cacheField>
    <cacheField name="Duplicate?" numFmtId="1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TXN-1001"/>
    <s v="6/2/2026"/>
    <s v="North"/>
    <s v="Maria Lopez"/>
    <s v="Acme Corp"/>
    <s v="Pro License"/>
    <s v="$4,250.00"/>
    <s v="Closed"/>
    <x v="0"/>
    <n v="4250"/>
    <d v="2026-06-02T00:00:00"/>
    <s v="No"/>
  </r>
  <r>
    <s v="TXN-1002"/>
    <s v="2026-06-02"/>
    <s v="south"/>
    <s v="James  Carter"/>
    <s v=" Globex Inc "/>
    <s v="Starter Plan"/>
    <n v="1100"/>
    <s v="Closed"/>
    <x v="1"/>
    <n v="1100"/>
    <d v="2026-06-02T00:00:00"/>
    <s v="No"/>
  </r>
  <r>
    <s v="TXN-1003"/>
    <s v="June 3, 2026"/>
    <s v="N."/>
    <s v="priya nair"/>
    <s v="Initech"/>
    <s v="Enterprise"/>
    <s v="$12,000.00"/>
    <s v="Closed"/>
    <x v="0"/>
    <n v="12000"/>
    <d v="2026-06-03T00:00:00"/>
    <s v="No"/>
  </r>
  <r>
    <s v="TXN-1004"/>
    <s v="6/3/2026"/>
    <s v="WEST"/>
    <s v="Maria Lopez"/>
    <s v="Umbrella  LLC"/>
    <s v="Pro  License"/>
    <s v="$4,250.00"/>
    <s v="Closed"/>
    <x v="2"/>
    <n v="4250"/>
    <d v="2026-06-03T00:00:00"/>
    <s v="No"/>
  </r>
  <r>
    <s v="TXN-1005"/>
    <s v="2026-06-04"/>
    <s v="East"/>
    <s v="Devon Brooks"/>
    <s v="Acme Corp "/>
    <s v="Add-on Seats"/>
    <n v="750"/>
    <s v="Closed"/>
    <x v="3"/>
    <n v="750"/>
    <d v="2026-06-04T00:00:00"/>
    <s v="No"/>
  </r>
  <r>
    <s v="TXN-1006"/>
    <s v="6/4/2026"/>
    <s v="North"/>
    <s v="James Carter"/>
    <s v="Soylent Co"/>
    <s v="Starter Plan"/>
    <s v="$1,100.00"/>
    <s v="Pending"/>
    <x v="0"/>
    <n v="1100"/>
    <d v="2026-06-04T00:00:00"/>
    <s v="No"/>
  </r>
  <r>
    <s v="TXN-1007"/>
    <s v="June 5, 2026"/>
    <s v="S."/>
    <s v="priya nair"/>
    <s v="Globex Inc"/>
    <s v="Pro License"/>
    <s v="$4,250.00"/>
    <s v="Closed"/>
    <x v="1"/>
    <n v="4250"/>
    <d v="2026-06-05T00:00:00"/>
    <s v="No"/>
  </r>
  <r>
    <s v="TXN-1008"/>
    <s v="6/5/2026"/>
    <s v=" West "/>
    <s v="Devon Brooks"/>
    <s v="Initech "/>
    <s v="Enterprise"/>
    <n v="9500"/>
    <s v="Closed"/>
    <x v="2"/>
    <n v="9500"/>
    <d v="2026-06-05T00:00:00"/>
    <s v="No"/>
  </r>
  <r>
    <s v="TXN-1009"/>
    <s v="2026-06-08"/>
    <s v="East"/>
    <s v="Maria  Lopez"/>
    <s v="Hooli"/>
    <s v="Add-on Seats"/>
    <s v="$750.00"/>
    <s v="Pending"/>
    <x v="3"/>
    <n v="750"/>
    <d v="2026-06-08T00:00:00"/>
    <s v="Yes"/>
  </r>
  <r>
    <s v="TXN-1010"/>
    <s v="6/8/2026"/>
    <s v="North"/>
    <s v="James Carter"/>
    <s v="Acme Corp"/>
    <s v="Pro License"/>
    <m/>
    <s v="Closed"/>
    <x v="0"/>
    <n v="0"/>
    <d v="2026-06-08T00:00:00"/>
    <s v="No"/>
  </r>
  <r>
    <s v="TXN-1011"/>
    <s v="June 9, 2026"/>
    <s v="south"/>
    <s v="priya nair"/>
    <s v="Umbrella LLC"/>
    <s v="Starter  Plan"/>
    <s v="$1,100.00"/>
    <s v="Closed"/>
    <x v="1"/>
    <n v="1100"/>
    <d v="2026-06-09T00:00:00"/>
    <s v="No"/>
  </r>
  <r>
    <s v="TXN-1012"/>
    <s v="6/9/2026"/>
    <s v="E."/>
    <s v="Devon Brooks"/>
    <s v="Soylent  Co"/>
    <s v="Pro License"/>
    <n v="4250"/>
    <s v="Closed"/>
    <x v="3"/>
    <n v="4250"/>
    <d v="2026-06-09T00:00:00"/>
    <s v="No"/>
  </r>
  <r>
    <s v="TXN-1013"/>
    <s v="2026-06-10"/>
    <s v="WEST"/>
    <s v="Maria Lopez"/>
    <s v="Globex Inc"/>
    <s v="Enterprise"/>
    <s v="$11,000.00"/>
    <s v="Closed"/>
    <x v="2"/>
    <n v="11000"/>
    <d v="2026-06-10T00:00:00"/>
    <s v="No"/>
  </r>
  <r>
    <s v="TXN-1014"/>
    <s v="6/10/2026"/>
    <s v="North"/>
    <s v="James  Carter"/>
    <s v="Hooli "/>
    <s v="Add-on Seats"/>
    <s v="$750.00"/>
    <s v="Pending"/>
    <x v="0"/>
    <n v="750"/>
    <d v="2026-06-10T00:00:00"/>
    <s v="No"/>
  </r>
  <r>
    <s v="TXN-1015"/>
    <s v="June 11, 2026"/>
    <s v="south"/>
    <s v="priya nair"/>
    <s v="Initech"/>
    <s v="Pro License"/>
    <n v="4250"/>
    <s v="Closed"/>
    <x v="1"/>
    <n v="4250"/>
    <d v="2026-06-11T00:00:00"/>
    <s v="Yes"/>
  </r>
  <r>
    <s v="TXN-1016"/>
    <s v="6/11/2026"/>
    <s v="East"/>
    <s v="Devon  Brooks"/>
    <s v="Acme Corp"/>
    <s v="Starter Plan"/>
    <s v="$1,100.00"/>
    <s v="Closed"/>
    <x v="3"/>
    <n v="1100"/>
    <d v="2026-06-11T00:00:00"/>
    <s v="No"/>
  </r>
  <r>
    <s v="TXN-1017"/>
    <s v="2026-06-12"/>
    <s v="W."/>
    <s v="Maria Lopez"/>
    <s v="Umbrella LLC "/>
    <s v="Enterprise"/>
    <s v="$10,500.00"/>
    <s v="Closed"/>
    <x v="2"/>
    <n v="10500"/>
    <d v="2026-06-12T00:00:00"/>
    <s v="No"/>
  </r>
  <r>
    <s v="TXN-1018"/>
    <s v="6/12/2026"/>
    <s v="North"/>
    <s v="James Carter"/>
    <s v="Soylent Co"/>
    <s v="Pro  License"/>
    <n v="4250"/>
    <s v="Pending"/>
    <x v="0"/>
    <n v="4250"/>
    <d v="2026-06-12T00:00:00"/>
    <s v="No"/>
  </r>
  <r>
    <s v="TXN-1019"/>
    <s v="June 15, 2026"/>
    <s v="S."/>
    <s v="Priya  Nair"/>
    <s v="Hooli"/>
    <s v="Add-on Seats"/>
    <s v="$750.00"/>
    <s v="Closed"/>
    <x v="1"/>
    <n v="750"/>
    <d v="2026-06-15T00:00:00"/>
    <s v="No"/>
  </r>
  <r>
    <s v="TXN-1020"/>
    <s v="6/15/2026"/>
    <s v="East"/>
    <s v="Devon Brooks"/>
    <s v="Globex  Inc"/>
    <s v="Pro License"/>
    <s v="$4,250.00"/>
    <s v="Closed"/>
    <x v="3"/>
    <n v="4250"/>
    <d v="2026-06-15T00:00:00"/>
    <s v="No"/>
  </r>
  <r>
    <s v="TXN-1021"/>
    <s v="2026-06-16"/>
    <s v="WEST"/>
    <s v="Maria Lopez"/>
    <s v="Initech"/>
    <s v="Starter Plan"/>
    <n v="1100"/>
    <s v="Closed"/>
    <x v="2"/>
    <n v="1100"/>
    <d v="2026-06-16T00:00:00"/>
    <s v="No"/>
  </r>
  <r>
    <s v="TXN-1022"/>
    <s v="6/16/2026"/>
    <s v="North "/>
    <s v="James Carter"/>
    <s v="Acme  Corp"/>
    <s v="Enterprise"/>
    <s v="$13,500.00"/>
    <s v="Closed"/>
    <x v="0"/>
    <n v="13500"/>
    <d v="2026-06-16T00:00:00"/>
    <s v="No"/>
  </r>
  <r>
    <s v="TXN-1023"/>
    <s v="June 17, 2026"/>
    <s v="S."/>
    <s v="priya nair"/>
    <s v="Umbrella LLC"/>
    <s v="Pro License"/>
    <s v="$4,250.00"/>
    <s v="Pending"/>
    <x v="1"/>
    <n v="4250"/>
    <d v="2026-06-17T00:00:00"/>
    <s v="No"/>
  </r>
  <r>
    <s v="TXN-1024"/>
    <s v="6/17/2026"/>
    <s v="East"/>
    <s v="Devon Brooks"/>
    <s v="Soylent Co "/>
    <s v="Add-on Seats"/>
    <n v="750"/>
    <s v="Closed"/>
    <x v="3"/>
    <n v="750"/>
    <d v="2026-06-17T00:00:00"/>
    <s v="No"/>
  </r>
  <r>
    <s v="TXN-1025"/>
    <s v="2026-06-18"/>
    <s v="WEST"/>
    <s v="Maria  Lopez"/>
    <s v="Hooli"/>
    <s v="Pro License"/>
    <m/>
    <s v="Closed"/>
    <x v="2"/>
    <n v="0"/>
    <d v="2026-06-18T00:00:00"/>
    <s v="No"/>
  </r>
  <r>
    <s v="TXN-1026"/>
    <s v="6/18/2026"/>
    <s v="North"/>
    <s v="James Carter"/>
    <s v="Globex Inc"/>
    <s v="Starter  Plan"/>
    <s v="$1,100.00"/>
    <s v="Closed"/>
    <x v="0"/>
    <n v="1100"/>
    <d v="2026-06-18T00:00:00"/>
    <s v="No"/>
  </r>
  <r>
    <s v="TXN-1027"/>
    <s v="June 19, 2026"/>
    <s v="south"/>
    <s v="priya nair"/>
    <s v="Initech "/>
    <s v="Enterprise"/>
    <n v="12500"/>
    <s v="Closed"/>
    <x v="1"/>
    <n v="12500"/>
    <d v="2026-06-19T00:00:00"/>
    <s v="No"/>
  </r>
  <r>
    <s v="TXN-1028"/>
    <s v="6/19/2026"/>
    <s v="E."/>
    <s v="Devon Brooks"/>
    <s v="Acme Corp"/>
    <s v="Pro License"/>
    <s v="$4,250.00"/>
    <s v="Pending"/>
    <x v="3"/>
    <n v="4250"/>
    <d v="2026-06-19T00:00:00"/>
    <s v="No"/>
  </r>
  <r>
    <s v="TXN-1029"/>
    <s v="2026-06-22"/>
    <s v="WEST"/>
    <s v="Maria Lopez"/>
    <s v="Umbrella  LLC"/>
    <s v="Add-on Seats"/>
    <s v="$750.00"/>
    <s v="Closed"/>
    <x v="2"/>
    <n v="750"/>
    <d v="2026-06-22T00:00:00"/>
    <s v="No"/>
  </r>
  <r>
    <s v="TXN-1030"/>
    <s v="6/22/2026"/>
    <s v="North"/>
    <s v="James  Carter"/>
    <s v="Soylent Co"/>
    <s v="Pro License"/>
    <n v="4250"/>
    <s v="Closed"/>
    <x v="0"/>
    <n v="4250"/>
    <d v="2026-06-22T00:00:00"/>
    <s v="No"/>
  </r>
  <r>
    <s v="TXN-1015"/>
    <s v="6/11/2026"/>
    <s v="south"/>
    <s v="priya nair"/>
    <s v="Initech"/>
    <s v="Pro License"/>
    <s v="$4,250.00"/>
    <s v="Closed"/>
    <x v="1"/>
    <n v="4250"/>
    <d v="2026-06-11T00:00:00"/>
    <s v="Yes"/>
  </r>
  <r>
    <s v="TXN-1009"/>
    <s v="2026-06-08"/>
    <s v="East"/>
    <s v="Maria Lopez"/>
    <s v="Hooli"/>
    <s v="Add-on Seats"/>
    <s v="$750.00"/>
    <s v="Pending"/>
    <x v="3"/>
    <n v="750"/>
    <d v="2026-06-08T00:00:00"/>
    <s v="Yes"/>
  </r>
  <r>
    <s v="TXN-1031"/>
    <s v="June 23, 2026"/>
    <s v="S."/>
    <s v="priya nair"/>
    <s v="Globex Inc"/>
    <s v="Enterprise"/>
    <s v="$11,500.00"/>
    <s v="Closed"/>
    <x v="1"/>
    <n v="11500"/>
    <d v="2026-06-23T00:00:00"/>
    <s v="No"/>
  </r>
  <r>
    <s v="TXN-1032"/>
    <s v="6/23/2026"/>
    <s v="East"/>
    <s v="Devon Brooks"/>
    <s v="Acme  Corp"/>
    <s v="Pro License"/>
    <n v="4250"/>
    <s v="Closed"/>
    <x v="3"/>
    <n v="4250"/>
    <d v="2026-06-23T00:00:00"/>
    <s v="No"/>
  </r>
  <r>
    <s v="TXN-1033"/>
    <s v="2026-06-24"/>
    <s v="West "/>
    <s v="Maria Lopez"/>
    <s v="Initech"/>
    <s v="Starter Plan"/>
    <s v="$1,100.00"/>
    <s v="Pending"/>
    <x v="2"/>
    <n v="1100"/>
    <d v="2026-06-24T00:00:00"/>
    <s v="No"/>
  </r>
  <r>
    <s v="TXN-1034"/>
    <s v="6/24/2026"/>
    <s v="North"/>
    <s v="James Carter"/>
    <s v="Umbrella LLC"/>
    <s v="Add-on Seats"/>
    <s v="$750.00"/>
    <s v="Closed"/>
    <x v="0"/>
    <n v="750"/>
    <d v="2026-06-24T00:00:00"/>
    <s v="No"/>
  </r>
  <r>
    <s v="TXN-1035"/>
    <s v="June 25, 2026"/>
    <s v="S."/>
    <s v="Priya  Nair"/>
    <s v="Soylent Co"/>
    <s v="Enterprise"/>
    <n v="14000"/>
    <s v="Closed"/>
    <x v="1"/>
    <n v="14000"/>
    <d v="2026-06-25T00:00:00"/>
    <s v="No"/>
  </r>
  <r>
    <s v="TXN-1036"/>
    <s v="6/25/2026"/>
    <s v="East"/>
    <s v="Devon Brooks"/>
    <s v="Hooli "/>
    <s v="Pro License"/>
    <s v="$4,250.00"/>
    <s v="Closed"/>
    <x v="3"/>
    <n v="4250"/>
    <d v="2026-06-25T00:00:00"/>
    <s v="No"/>
  </r>
  <r>
    <s v="TXN-1037"/>
    <s v="2026-06-26"/>
    <s v="WEST"/>
    <s v="Maria Lopez"/>
    <s v="Globex Inc"/>
    <s v="Starter Plan"/>
    <n v="1100"/>
    <s v="Closed"/>
    <x v="2"/>
    <n v="1100"/>
    <d v="2026-06-26T00:00:00"/>
    <s v="No"/>
  </r>
  <r>
    <s v="TXN-1038"/>
    <s v="6/26/2026"/>
    <s v="North"/>
    <s v="James  Carter"/>
    <s v="Acme Corp"/>
    <s v="Pro  License"/>
    <s v="$4,250.00"/>
    <s v="Closed"/>
    <x v="0"/>
    <n v="4250"/>
    <d v="2026-06-26T00:00:00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DFBEE-512F-40A3-A599-51B4132055EA}" name="RegionPivo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numFmtId="14" showAll="0"/>
    <pivotField showAll="0"/>
  </pivotFields>
  <rowFields count="1">
    <field x="8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Total Sales" fld="9" baseField="0" baseItem="0" numFmtId="164"/>
  </dataFields>
  <formats count="1">
    <format dxfId="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FF314-939E-46F1-A10B-28EC0A28D265}" name="sales" displayName="sales" ref="A1:L41" totalsRowShown="0" headerRowDxfId="5">
  <autoFilter ref="A1:L41" xr:uid="{12FFF314-939E-46F1-A10B-28EC0A28D265}"/>
  <tableColumns count="12">
    <tableColumn id="1" xr3:uid="{16A537FC-76AB-46FA-A8CF-6EB150FFDC3C}" name="Transaction ID"/>
    <tableColumn id="2" xr3:uid="{F8591CE5-AC3C-4B8A-9B2A-99652881E3E0}" name="Date"/>
    <tableColumn id="3" xr3:uid="{3BEA9558-C59F-4DCE-9CA2-B69B40FD6A3B}" name="Region"/>
    <tableColumn id="4" xr3:uid="{89A1C1B5-F08D-496D-B5C7-3CFFB45F39DA}" name="Sales Rep"/>
    <tableColumn id="5" xr3:uid="{E5EF812A-E2B5-4730-A7A4-1DA38E1EC908}" name="Customer"/>
    <tableColumn id="6" xr3:uid="{748BECB5-172B-4753-9C6B-3A4A8586876D}" name="Product"/>
    <tableColumn id="7" xr3:uid="{5FED7FD6-E275-43A1-9C04-EF21056CFB3A}" name="Amount"/>
    <tableColumn id="8" xr3:uid="{BF812824-289B-4598-9599-86E696A29A00}" name="Status"/>
    <tableColumn id="9" xr3:uid="{1515D9BC-9E6F-46AC-B8BB-DA638729AC56}" name="Region Clean" dataDxfId="3">
      <calculatedColumnFormula array="1">_xlfn.SWITCH(LEFT(UPPER(TRIM(sales[[#This Row],[Region]])),1),"N","North","S","South","E","East","W","West","Unknown")</calculatedColumnFormula>
    </tableColumn>
    <tableColumn id="10" xr3:uid="{AB520472-23BE-4BDE-9048-C2F07A64E5F5}" name="Amount Clean" dataDxfId="2">
      <calculatedColumnFormula>IF(sales[[#This Row],[Amount]]="",0,IFERROR(VALUE(SUBSTITUTE(SUBSTITUTE(sales[[#This Row],[Amount]],"$",""),",","")),sales[[#This Row],[Amount]]))</calculatedColumnFormula>
    </tableColumn>
    <tableColumn id="11" xr3:uid="{32BF667D-ACCB-474F-9B48-162D562C9CAA}" name="Date Clean" dataDxfId="1">
      <calculatedColumnFormula>IFERROR(DATEVALUE(sales[[#This Row],[Date]]),sales[[#This Row],[Date]])</calculatedColumnFormula>
    </tableColumn>
    <tableColumn id="12" xr3:uid="{35F493D5-6FCC-4202-9338-43362B98C4F2}" name="Duplicate?" dataDxfId="0">
      <calculatedColumnFormula>IF(COUNTIF(sales[Transaction ID],sales[[#This Row],[Transaction ID]])&gt;1,"Yes","No")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topLeftCell="F1" workbookViewId="0">
      <selection activeCell="F6" sqref="F6"/>
    </sheetView>
  </sheetViews>
  <sheetFormatPr defaultRowHeight="14.35" x14ac:dyDescent="0.5"/>
  <cols>
    <col min="1" max="1" width="15" customWidth="1"/>
    <col min="2" max="2" width="16" customWidth="1"/>
    <col min="3" max="3" width="10" customWidth="1"/>
    <col min="4" max="4" width="16" customWidth="1"/>
    <col min="5" max="5" width="18" customWidth="1"/>
    <col min="6" max="6" width="15" customWidth="1"/>
    <col min="7" max="7" width="12" customWidth="1"/>
    <col min="8" max="8" width="10" customWidth="1"/>
    <col min="9" max="9" width="13.46875" bestFit="1" customWidth="1"/>
    <col min="11" max="11" width="11.64453125" bestFit="1" customWidth="1"/>
  </cols>
  <sheetData>
    <row r="1" spans="1:12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148</v>
      </c>
      <c r="J1" s="2" t="s">
        <v>149</v>
      </c>
      <c r="K1" s="2" t="s">
        <v>150</v>
      </c>
      <c r="L1" s="2" t="s">
        <v>151</v>
      </c>
    </row>
    <row r="2" spans="1:12" x14ac:dyDescent="0.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6" t="str" cm="1">
        <f t="array" ref="I2">_xlfn.SWITCH(LEFT(UPPER(TRIM(sales[[#This Row],[Region]])),1),"N","North","S","South","E","East","W","West","Unknown")</f>
        <v>North</v>
      </c>
      <c r="J2" s="7">
        <f>IF(sales[[#This Row],[Amount]]="",0,IFERROR(VALUE(SUBSTITUTE(SUBSTITUTE(sales[[#This Row],[Amount]],"$",""),",","")),sales[[#This Row],[Amount]]))</f>
        <v>4250</v>
      </c>
      <c r="K2" s="8">
        <f>IFERROR(DATEVALUE(sales[[#This Row],[Date]]),sales[[#This Row],[Date]])</f>
        <v>46175</v>
      </c>
      <c r="L2" s="8" t="str">
        <f>IF(COUNTIF(sales[Transaction ID],sales[[#This Row],[Transaction ID]])&gt;1,"Yes","No")</f>
        <v>No</v>
      </c>
    </row>
    <row r="3" spans="1:12" x14ac:dyDescent="0.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1100</v>
      </c>
      <c r="H3" t="s">
        <v>15</v>
      </c>
      <c r="I3" s="6" t="str" cm="1">
        <f t="array" ref="I3">_xlfn.SWITCH(LEFT(UPPER(TRIM(sales[[#This Row],[Region]])),1),"N","North","S","South","E","East","W","West","Unknown")</f>
        <v>South</v>
      </c>
      <c r="J3" s="7">
        <f>IF(sales[[#This Row],[Amount]]="",0,IFERROR(VALUE(SUBSTITUTE(SUBSTITUTE(sales[[#This Row],[Amount]],"$",""),",","")),sales[[#This Row],[Amount]]))</f>
        <v>1100</v>
      </c>
      <c r="K3" s="8">
        <f>IFERROR(DATEVALUE(sales[[#This Row],[Date]]),sales[[#This Row],[Date]])</f>
        <v>46175</v>
      </c>
      <c r="L3" s="8" t="str">
        <f>IF(COUNTIF(sales[Transaction ID],sales[[#This Row],[Transaction ID]])&gt;1,"Yes","No")</f>
        <v>No</v>
      </c>
    </row>
    <row r="4" spans="1:12" x14ac:dyDescent="0.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15</v>
      </c>
      <c r="I4" s="6" t="str" cm="1">
        <f t="array" ref="I4">_xlfn.SWITCH(LEFT(UPPER(TRIM(sales[[#This Row],[Region]])),1),"N","North","S","South","E","East","W","West","Unknown")</f>
        <v>North</v>
      </c>
      <c r="J4" s="7">
        <f>IF(sales[[#This Row],[Amount]]="",0,IFERROR(VALUE(SUBSTITUTE(SUBSTITUTE(sales[[#This Row],[Amount]],"$",""),",","")),sales[[#This Row],[Amount]]))</f>
        <v>12000</v>
      </c>
      <c r="K4" s="8">
        <f>IFERROR(DATEVALUE(sales[[#This Row],[Date]]),sales[[#This Row],[Date]])</f>
        <v>46176</v>
      </c>
      <c r="L4" s="8" t="str">
        <f>IF(COUNTIF(sales[Transaction ID],sales[[#This Row],[Transaction ID]])&gt;1,"Yes","No")</f>
        <v>No</v>
      </c>
    </row>
    <row r="5" spans="1:12" x14ac:dyDescent="0.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14</v>
      </c>
      <c r="H5" t="s">
        <v>34</v>
      </c>
      <c r="I5" s="6" t="str" cm="1">
        <f t="array" ref="I5">_xlfn.SWITCH(LEFT(UPPER(TRIM(sales[[#This Row],[Region]])),1),"N","North","S","South","E","East","W","West","Unknown")</f>
        <v>West</v>
      </c>
      <c r="J5" s="7">
        <f>IF(sales[[#This Row],[Amount]]="",0,IFERROR(VALUE(SUBSTITUTE(SUBSTITUTE(sales[[#This Row],[Amount]],"$",""),",","")),sales[[#This Row],[Amount]]))</f>
        <v>4250</v>
      </c>
      <c r="K5" s="8">
        <f>IFERROR(DATEVALUE(sales[[#This Row],[Date]]),sales[[#This Row],[Date]])</f>
        <v>46176</v>
      </c>
      <c r="L5" s="8" t="str">
        <f>IF(COUNTIF(sales[Transaction ID],sales[[#This Row],[Transaction ID]])&gt;1,"Yes","No")</f>
        <v>No</v>
      </c>
    </row>
    <row r="6" spans="1:12" x14ac:dyDescent="0.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>
        <v>750</v>
      </c>
      <c r="H6" t="s">
        <v>15</v>
      </c>
      <c r="I6" s="6" t="str" cm="1">
        <f t="array" ref="I6">_xlfn.SWITCH(LEFT(UPPER(TRIM(sales[[#This Row],[Region]])),1),"N","North","S","South","E","East","W","West","Unknown")</f>
        <v>East</v>
      </c>
      <c r="J6" s="7">
        <f>IF(sales[[#This Row],[Amount]]="",0,IFERROR(VALUE(SUBSTITUTE(SUBSTITUTE(sales[[#This Row],[Amount]],"$",""),",","")),sales[[#This Row],[Amount]]))</f>
        <v>750</v>
      </c>
      <c r="K6" s="8">
        <f>IFERROR(DATEVALUE(sales[[#This Row],[Date]]),sales[[#This Row],[Date]])</f>
        <v>46177</v>
      </c>
      <c r="L6" s="8" t="str">
        <f>IF(COUNTIF(sales[Transaction ID],sales[[#This Row],[Transaction ID]])&gt;1,"Yes","No")</f>
        <v>No</v>
      </c>
    </row>
    <row r="7" spans="1:12" x14ac:dyDescent="0.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21</v>
      </c>
      <c r="G7" t="s">
        <v>46</v>
      </c>
      <c r="H7" t="s">
        <v>47</v>
      </c>
      <c r="I7" s="6" t="str" cm="1">
        <f t="array" ref="I7">_xlfn.SWITCH(LEFT(UPPER(TRIM(sales[[#This Row],[Region]])),1),"N","North","S","South","E","East","W","West","Unknown")</f>
        <v>North</v>
      </c>
      <c r="J7" s="7">
        <f>IF(sales[[#This Row],[Amount]]="",0,IFERROR(VALUE(SUBSTITUTE(SUBSTITUTE(sales[[#This Row],[Amount]],"$",""),",","")),sales[[#This Row],[Amount]]))</f>
        <v>1100</v>
      </c>
      <c r="K7" s="8">
        <f>IFERROR(DATEVALUE(sales[[#This Row],[Date]]),sales[[#This Row],[Date]])</f>
        <v>46177</v>
      </c>
      <c r="L7" s="8" t="str">
        <f>IF(COUNTIF(sales[Transaction ID],sales[[#This Row],[Transaction ID]])&gt;1,"Yes","No")</f>
        <v>No</v>
      </c>
    </row>
    <row r="8" spans="1:12" x14ac:dyDescent="0.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13</v>
      </c>
      <c r="G8" t="s">
        <v>14</v>
      </c>
      <c r="H8" t="s">
        <v>15</v>
      </c>
      <c r="I8" s="6" t="str" cm="1">
        <f t="array" ref="I8">_xlfn.SWITCH(LEFT(UPPER(TRIM(sales[[#This Row],[Region]])),1),"N","North","S","South","E","East","W","West","Unknown")</f>
        <v>South</v>
      </c>
      <c r="J8" s="7">
        <f>IF(sales[[#This Row],[Amount]]="",0,IFERROR(VALUE(SUBSTITUTE(SUBSTITUTE(sales[[#This Row],[Amount]],"$",""),",","")),sales[[#This Row],[Amount]]))</f>
        <v>4250</v>
      </c>
      <c r="K8" s="8">
        <f>IFERROR(DATEVALUE(sales[[#This Row],[Date]]),sales[[#This Row],[Date]])</f>
        <v>46178</v>
      </c>
      <c r="L8" s="8" t="str">
        <f>IF(COUNTIF(sales[Transaction ID],sales[[#This Row],[Transaction ID]])&gt;1,"Yes","No")</f>
        <v>No</v>
      </c>
    </row>
    <row r="9" spans="1:12" x14ac:dyDescent="0.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27</v>
      </c>
      <c r="G9">
        <v>9500</v>
      </c>
      <c r="H9" t="s">
        <v>15</v>
      </c>
      <c r="I9" s="6" t="str" cm="1">
        <f t="array" ref="I9">_xlfn.SWITCH(LEFT(UPPER(TRIM(sales[[#This Row],[Region]])),1),"N","North","S","South","E","East","W","West","Unknown")</f>
        <v>West</v>
      </c>
      <c r="J9" s="7">
        <f>IF(sales[[#This Row],[Amount]]="",0,IFERROR(VALUE(SUBSTITUTE(SUBSTITUTE(sales[[#This Row],[Amount]],"$",""),",","")),sales[[#This Row],[Amount]]))</f>
        <v>9500</v>
      </c>
      <c r="K9" s="8">
        <f>IFERROR(DATEVALUE(sales[[#This Row],[Date]]),sales[[#This Row],[Date]])</f>
        <v>46178</v>
      </c>
      <c r="L9" s="8" t="str">
        <f>IF(COUNTIF(sales[Transaction ID],sales[[#This Row],[Transaction ID]])&gt;1,"Yes","No")</f>
        <v>No</v>
      </c>
    </row>
    <row r="10" spans="1:12" x14ac:dyDescent="0.5">
      <c r="A10" t="s">
        <v>58</v>
      </c>
      <c r="B10" t="s">
        <v>59</v>
      </c>
      <c r="C10" t="s">
        <v>37</v>
      </c>
      <c r="D10" t="s">
        <v>60</v>
      </c>
      <c r="E10" t="s">
        <v>61</v>
      </c>
      <c r="F10" t="s">
        <v>40</v>
      </c>
      <c r="G10" t="s">
        <v>62</v>
      </c>
      <c r="H10" t="s">
        <v>47</v>
      </c>
      <c r="I10" s="6" t="str" cm="1">
        <f t="array" ref="I10">_xlfn.SWITCH(LEFT(UPPER(TRIM(sales[[#This Row],[Region]])),1),"N","North","S","South","E","East","W","West","Unknown")</f>
        <v>East</v>
      </c>
      <c r="J10" s="7">
        <f>IF(sales[[#This Row],[Amount]]="",0,IFERROR(VALUE(SUBSTITUTE(SUBSTITUTE(sales[[#This Row],[Amount]],"$",""),",","")),sales[[#This Row],[Amount]]))</f>
        <v>750</v>
      </c>
      <c r="K10" s="8">
        <f>IFERROR(DATEVALUE(sales[[#This Row],[Date]]),sales[[#This Row],[Date]])</f>
        <v>46181</v>
      </c>
      <c r="L10" s="8" t="str">
        <f>IF(COUNTIF(sales[Transaction ID],sales[[#This Row],[Transaction ID]])&gt;1,"Yes","No")</f>
        <v>Yes</v>
      </c>
    </row>
    <row r="11" spans="1:12" x14ac:dyDescent="0.5">
      <c r="A11" t="s">
        <v>63</v>
      </c>
      <c r="B11" t="s">
        <v>64</v>
      </c>
      <c r="C11" t="s">
        <v>10</v>
      </c>
      <c r="D11" t="s">
        <v>44</v>
      </c>
      <c r="E11" t="s">
        <v>12</v>
      </c>
      <c r="F11" t="s">
        <v>13</v>
      </c>
      <c r="H11" t="s">
        <v>15</v>
      </c>
      <c r="I11" s="6" t="str" cm="1">
        <f t="array" ref="I11">_xlfn.SWITCH(LEFT(UPPER(TRIM(sales[[#This Row],[Region]])),1),"N","North","S","South","E","East","W","West","Unknown")</f>
        <v>North</v>
      </c>
      <c r="J11" s="7">
        <f>IF(sales[[#This Row],[Amount]]="",0,IFERROR(VALUE(SUBSTITUTE(SUBSTITUTE(sales[[#This Row],[Amount]],"$",""),",","")),sales[[#This Row],[Amount]]))</f>
        <v>0</v>
      </c>
      <c r="K11" s="8">
        <f>IFERROR(DATEVALUE(sales[[#This Row],[Date]]),sales[[#This Row],[Date]])</f>
        <v>46181</v>
      </c>
      <c r="L11" s="8" t="str">
        <f>IF(COUNTIF(sales[Transaction ID],sales[[#This Row],[Transaction ID]])&gt;1,"Yes","No")</f>
        <v>No</v>
      </c>
    </row>
    <row r="12" spans="1:12" x14ac:dyDescent="0.5">
      <c r="A12" t="s">
        <v>65</v>
      </c>
      <c r="B12" t="s">
        <v>66</v>
      </c>
      <c r="C12" t="s">
        <v>18</v>
      </c>
      <c r="D12" t="s">
        <v>51</v>
      </c>
      <c r="E12" t="s">
        <v>67</v>
      </c>
      <c r="F12" t="s">
        <v>68</v>
      </c>
      <c r="G12" t="s">
        <v>46</v>
      </c>
      <c r="H12" t="s">
        <v>15</v>
      </c>
      <c r="I12" s="6" t="str" cm="1">
        <f t="array" ref="I12">_xlfn.SWITCH(LEFT(UPPER(TRIM(sales[[#This Row],[Region]])),1),"N","North","S","South","E","East","W","West","Unknown")</f>
        <v>South</v>
      </c>
      <c r="J12" s="7">
        <f>IF(sales[[#This Row],[Amount]]="",0,IFERROR(VALUE(SUBSTITUTE(SUBSTITUTE(sales[[#This Row],[Amount]],"$",""),",","")),sales[[#This Row],[Amount]]))</f>
        <v>1100</v>
      </c>
      <c r="K12" s="8">
        <f>IFERROR(DATEVALUE(sales[[#This Row],[Date]]),sales[[#This Row],[Date]])</f>
        <v>46182</v>
      </c>
      <c r="L12" s="8" t="str">
        <f>IF(COUNTIF(sales[Transaction ID],sales[[#This Row],[Transaction ID]])&gt;1,"Yes","No")</f>
        <v>No</v>
      </c>
    </row>
    <row r="13" spans="1:12" x14ac:dyDescent="0.5">
      <c r="A13" t="s">
        <v>69</v>
      </c>
      <c r="B13" t="s">
        <v>70</v>
      </c>
      <c r="C13" t="s">
        <v>71</v>
      </c>
      <c r="D13" t="s">
        <v>38</v>
      </c>
      <c r="E13" t="s">
        <v>72</v>
      </c>
      <c r="F13" t="s">
        <v>13</v>
      </c>
      <c r="G13">
        <v>4250</v>
      </c>
      <c r="H13" t="s">
        <v>34</v>
      </c>
      <c r="I13" s="6" t="str" cm="1">
        <f t="array" ref="I13">_xlfn.SWITCH(LEFT(UPPER(TRIM(sales[[#This Row],[Region]])),1),"N","North","S","South","E","East","W","West","Unknown")</f>
        <v>East</v>
      </c>
      <c r="J13" s="7">
        <f>IF(sales[[#This Row],[Amount]]="",0,IFERROR(VALUE(SUBSTITUTE(SUBSTITUTE(sales[[#This Row],[Amount]],"$",""),",","")),sales[[#This Row],[Amount]]))</f>
        <v>4250</v>
      </c>
      <c r="K13" s="8">
        <f>IFERROR(DATEVALUE(sales[[#This Row],[Date]]),sales[[#This Row],[Date]])</f>
        <v>46182</v>
      </c>
      <c r="L13" s="8" t="str">
        <f>IF(COUNTIF(sales[Transaction ID],sales[[#This Row],[Transaction ID]])&gt;1,"Yes","No")</f>
        <v>No</v>
      </c>
    </row>
    <row r="14" spans="1:12" x14ac:dyDescent="0.5">
      <c r="A14" t="s">
        <v>73</v>
      </c>
      <c r="B14" t="s">
        <v>74</v>
      </c>
      <c r="C14" t="s">
        <v>75</v>
      </c>
      <c r="D14" t="s">
        <v>76</v>
      </c>
      <c r="E14" t="s">
        <v>52</v>
      </c>
      <c r="F14" t="s">
        <v>27</v>
      </c>
      <c r="G14" t="s">
        <v>77</v>
      </c>
      <c r="H14" t="s">
        <v>15</v>
      </c>
      <c r="I14" s="6" t="str" cm="1">
        <f t="array" ref="I14">_xlfn.SWITCH(LEFT(UPPER(TRIM(sales[[#This Row],[Region]])),1),"N","North","S","South","E","East","W","West","Unknown")</f>
        <v>West</v>
      </c>
      <c r="J14" s="7">
        <f>IF(sales[[#This Row],[Amount]]="",0,IFERROR(VALUE(SUBSTITUTE(SUBSTITUTE(sales[[#This Row],[Amount]],"$",""),",","")),sales[[#This Row],[Amount]]))</f>
        <v>11000</v>
      </c>
      <c r="K14" s="8">
        <f>IFERROR(DATEVALUE(sales[[#This Row],[Date]]),sales[[#This Row],[Date]])</f>
        <v>46183</v>
      </c>
      <c r="L14" s="8" t="str">
        <f>IF(COUNTIF(sales[Transaction ID],sales[[#This Row],[Transaction ID]])&gt;1,"Yes","No")</f>
        <v>No</v>
      </c>
    </row>
    <row r="15" spans="1:12" x14ac:dyDescent="0.5">
      <c r="A15" t="s">
        <v>78</v>
      </c>
      <c r="B15" t="s">
        <v>79</v>
      </c>
      <c r="C15" t="s">
        <v>80</v>
      </c>
      <c r="D15" t="s">
        <v>19</v>
      </c>
      <c r="E15" t="s">
        <v>81</v>
      </c>
      <c r="F15" t="s">
        <v>40</v>
      </c>
      <c r="G15" t="s">
        <v>62</v>
      </c>
      <c r="H15" t="s">
        <v>47</v>
      </c>
      <c r="I15" s="6" t="str" cm="1">
        <f t="array" ref="I15">_xlfn.SWITCH(LEFT(UPPER(TRIM(sales[[#This Row],[Region]])),1),"N","North","S","South","E","East","W","West","Unknown")</f>
        <v>North</v>
      </c>
      <c r="J15" s="7">
        <f>IF(sales[[#This Row],[Amount]]="",0,IFERROR(VALUE(SUBSTITUTE(SUBSTITUTE(sales[[#This Row],[Amount]],"$",""),",","")),sales[[#This Row],[Amount]]))</f>
        <v>750</v>
      </c>
      <c r="K15" s="8">
        <f>IFERROR(DATEVALUE(sales[[#This Row],[Date]]),sales[[#This Row],[Date]])</f>
        <v>46183</v>
      </c>
      <c r="L15" s="8" t="str">
        <f>IF(COUNTIF(sales[Transaction ID],sales[[#This Row],[Transaction ID]])&gt;1,"Yes","No")</f>
        <v>No</v>
      </c>
    </row>
    <row r="16" spans="1:12" x14ac:dyDescent="0.5">
      <c r="A16" t="s">
        <v>82</v>
      </c>
      <c r="B16" t="s">
        <v>83</v>
      </c>
      <c r="C16" t="s">
        <v>84</v>
      </c>
      <c r="D16" t="s">
        <v>51</v>
      </c>
      <c r="E16" t="s">
        <v>26</v>
      </c>
      <c r="F16" t="s">
        <v>13</v>
      </c>
      <c r="G16">
        <v>4250</v>
      </c>
      <c r="H16" t="s">
        <v>15</v>
      </c>
      <c r="I16" s="6" t="str" cm="1">
        <f t="array" ref="I16">_xlfn.SWITCH(LEFT(UPPER(TRIM(sales[[#This Row],[Region]])),1),"N","North","S","South","E","East","W","West","Unknown")</f>
        <v>South</v>
      </c>
      <c r="J16" s="7">
        <f>IF(sales[[#This Row],[Amount]]="",0,IFERROR(VALUE(SUBSTITUTE(SUBSTITUTE(sales[[#This Row],[Amount]],"$",""),",","")),sales[[#This Row],[Amount]]))</f>
        <v>4250</v>
      </c>
      <c r="K16" s="8">
        <f>IFERROR(DATEVALUE(sales[[#This Row],[Date]]),sales[[#This Row],[Date]])</f>
        <v>46184</v>
      </c>
      <c r="L16" s="8" t="str">
        <f>IF(COUNTIF(sales[Transaction ID],sales[[#This Row],[Transaction ID]])&gt;1,"Yes","No")</f>
        <v>Yes</v>
      </c>
    </row>
    <row r="17" spans="1:12" x14ac:dyDescent="0.5">
      <c r="A17" t="s">
        <v>85</v>
      </c>
      <c r="B17" t="s">
        <v>86</v>
      </c>
      <c r="C17" t="s">
        <v>87</v>
      </c>
      <c r="D17" t="s">
        <v>88</v>
      </c>
      <c r="E17" t="s">
        <v>12</v>
      </c>
      <c r="F17" t="s">
        <v>21</v>
      </c>
      <c r="G17" t="s">
        <v>46</v>
      </c>
      <c r="H17" t="s">
        <v>15</v>
      </c>
      <c r="I17" s="6" t="str" cm="1">
        <f t="array" ref="I17">_xlfn.SWITCH(LEFT(UPPER(TRIM(sales[[#This Row],[Region]])),1),"N","North","S","South","E","East","W","West","Unknown")</f>
        <v>East</v>
      </c>
      <c r="J17" s="7">
        <f>IF(sales[[#This Row],[Amount]]="",0,IFERROR(VALUE(SUBSTITUTE(SUBSTITUTE(sales[[#This Row],[Amount]],"$",""),",","")),sales[[#This Row],[Amount]]))</f>
        <v>1100</v>
      </c>
      <c r="K17" s="8">
        <f>IFERROR(DATEVALUE(sales[[#This Row],[Date]]),sales[[#This Row],[Date]])</f>
        <v>46184</v>
      </c>
      <c r="L17" s="8" t="str">
        <f>IF(COUNTIF(sales[Transaction ID],sales[[#This Row],[Transaction ID]])&gt;1,"Yes","No")</f>
        <v>No</v>
      </c>
    </row>
    <row r="18" spans="1:12" x14ac:dyDescent="0.5">
      <c r="A18" t="s">
        <v>89</v>
      </c>
      <c r="B18" t="s">
        <v>90</v>
      </c>
      <c r="C18" t="s">
        <v>91</v>
      </c>
      <c r="D18" t="s">
        <v>11</v>
      </c>
      <c r="E18" t="s">
        <v>92</v>
      </c>
      <c r="F18" t="s">
        <v>27</v>
      </c>
      <c r="G18" t="s">
        <v>93</v>
      </c>
      <c r="H18" t="s">
        <v>15</v>
      </c>
      <c r="I18" s="6" t="str" cm="1">
        <f t="array" ref="I18">_xlfn.SWITCH(LEFT(UPPER(TRIM(sales[[#This Row],[Region]])),1),"N","North","S","South","E","East","W","West","Unknown")</f>
        <v>West</v>
      </c>
      <c r="J18" s="7">
        <f>IF(sales[[#This Row],[Amount]]="",0,IFERROR(VALUE(SUBSTITUTE(SUBSTITUTE(sales[[#This Row],[Amount]],"$",""),",","")),sales[[#This Row],[Amount]]))</f>
        <v>10500</v>
      </c>
      <c r="K18" s="8">
        <f>IFERROR(DATEVALUE(sales[[#This Row],[Date]]),sales[[#This Row],[Date]])</f>
        <v>46185</v>
      </c>
      <c r="L18" s="8" t="str">
        <f>IF(COUNTIF(sales[Transaction ID],sales[[#This Row],[Transaction ID]])&gt;1,"Yes","No")</f>
        <v>No</v>
      </c>
    </row>
    <row r="19" spans="1:12" x14ac:dyDescent="0.5">
      <c r="A19" t="s">
        <v>94</v>
      </c>
      <c r="B19" t="s">
        <v>95</v>
      </c>
      <c r="C19" t="s">
        <v>10</v>
      </c>
      <c r="D19" t="s">
        <v>96</v>
      </c>
      <c r="E19" t="s">
        <v>45</v>
      </c>
      <c r="F19" t="s">
        <v>33</v>
      </c>
      <c r="G19">
        <v>4250</v>
      </c>
      <c r="H19" t="s">
        <v>47</v>
      </c>
      <c r="I19" s="6" t="str" cm="1">
        <f t="array" ref="I19">_xlfn.SWITCH(LEFT(UPPER(TRIM(sales[[#This Row],[Region]])),1),"N","North","S","South","E","East","W","West","Unknown")</f>
        <v>North</v>
      </c>
      <c r="J19" s="7">
        <f>IF(sales[[#This Row],[Amount]]="",0,IFERROR(VALUE(SUBSTITUTE(SUBSTITUTE(sales[[#This Row],[Amount]],"$",""),",","")),sales[[#This Row],[Amount]]))</f>
        <v>4250</v>
      </c>
      <c r="K19" s="8">
        <f>IFERROR(DATEVALUE(sales[[#This Row],[Date]]),sales[[#This Row],[Date]])</f>
        <v>46185</v>
      </c>
      <c r="L19" s="8" t="str">
        <f>IF(COUNTIF(sales[Transaction ID],sales[[#This Row],[Transaction ID]])&gt;1,"Yes","No")</f>
        <v>No</v>
      </c>
    </row>
    <row r="20" spans="1:12" x14ac:dyDescent="0.5">
      <c r="A20" t="s">
        <v>97</v>
      </c>
      <c r="B20" t="s">
        <v>98</v>
      </c>
      <c r="C20" t="s">
        <v>50</v>
      </c>
      <c r="D20" t="s">
        <v>99</v>
      </c>
      <c r="E20" t="s">
        <v>61</v>
      </c>
      <c r="F20" t="s">
        <v>40</v>
      </c>
      <c r="G20" t="s">
        <v>62</v>
      </c>
      <c r="H20" t="s">
        <v>15</v>
      </c>
      <c r="I20" s="6" t="str" cm="1">
        <f t="array" ref="I20">_xlfn.SWITCH(LEFT(UPPER(TRIM(sales[[#This Row],[Region]])),1),"N","North","S","South","E","East","W","West","Unknown")</f>
        <v>South</v>
      </c>
      <c r="J20" s="7">
        <f>IF(sales[[#This Row],[Amount]]="",0,IFERROR(VALUE(SUBSTITUTE(SUBSTITUTE(sales[[#This Row],[Amount]],"$",""),",","")),sales[[#This Row],[Amount]]))</f>
        <v>750</v>
      </c>
      <c r="K20" s="8">
        <f>IFERROR(DATEVALUE(sales[[#This Row],[Date]]),sales[[#This Row],[Date]])</f>
        <v>46188</v>
      </c>
      <c r="L20" s="8" t="str">
        <f>IF(COUNTIF(sales[Transaction ID],sales[[#This Row],[Transaction ID]])&gt;1,"Yes","No")</f>
        <v>No</v>
      </c>
    </row>
    <row r="21" spans="1:12" x14ac:dyDescent="0.5">
      <c r="A21" t="s">
        <v>100</v>
      </c>
      <c r="B21" t="s">
        <v>101</v>
      </c>
      <c r="C21" t="s">
        <v>37</v>
      </c>
      <c r="D21" t="s">
        <v>38</v>
      </c>
      <c r="E21" t="s">
        <v>102</v>
      </c>
      <c r="F21" t="s">
        <v>13</v>
      </c>
      <c r="G21" t="s">
        <v>14</v>
      </c>
      <c r="H21" t="s">
        <v>34</v>
      </c>
      <c r="I21" s="6" t="str" cm="1">
        <f t="array" ref="I21">_xlfn.SWITCH(LEFT(UPPER(TRIM(sales[[#This Row],[Region]])),1),"N","North","S","South","E","East","W","West","Unknown")</f>
        <v>East</v>
      </c>
      <c r="J21" s="7">
        <f>IF(sales[[#This Row],[Amount]]="",0,IFERROR(VALUE(SUBSTITUTE(SUBSTITUTE(sales[[#This Row],[Amount]],"$",""),",","")),sales[[#This Row],[Amount]]))</f>
        <v>4250</v>
      </c>
      <c r="K21" s="8">
        <f>IFERROR(DATEVALUE(sales[[#This Row],[Date]]),sales[[#This Row],[Date]])</f>
        <v>46188</v>
      </c>
      <c r="L21" s="8" t="str">
        <f>IF(COUNTIF(sales[Transaction ID],sales[[#This Row],[Transaction ID]])&gt;1,"Yes","No")</f>
        <v>No</v>
      </c>
    </row>
    <row r="22" spans="1:12" x14ac:dyDescent="0.5">
      <c r="A22" t="s">
        <v>103</v>
      </c>
      <c r="B22" t="s">
        <v>104</v>
      </c>
      <c r="C22" t="s">
        <v>105</v>
      </c>
      <c r="D22" t="s">
        <v>11</v>
      </c>
      <c r="E22" t="s">
        <v>26</v>
      </c>
      <c r="F22" t="s">
        <v>21</v>
      </c>
      <c r="G22">
        <v>1100</v>
      </c>
      <c r="H22" t="s">
        <v>15</v>
      </c>
      <c r="I22" s="6" t="str" cm="1">
        <f t="array" ref="I22">_xlfn.SWITCH(LEFT(UPPER(TRIM(sales[[#This Row],[Region]])),1),"N","North","S","South","E","East","W","West","Unknown")</f>
        <v>West</v>
      </c>
      <c r="J22" s="7">
        <f>IF(sales[[#This Row],[Amount]]="",0,IFERROR(VALUE(SUBSTITUTE(SUBSTITUTE(sales[[#This Row],[Amount]],"$",""),",","")),sales[[#This Row],[Amount]]))</f>
        <v>1100</v>
      </c>
      <c r="K22" s="8">
        <f>IFERROR(DATEVALUE(sales[[#This Row],[Date]]),sales[[#This Row],[Date]])</f>
        <v>46189</v>
      </c>
      <c r="L22" s="8" t="str">
        <f>IF(COUNTIF(sales[Transaction ID],sales[[#This Row],[Transaction ID]])&gt;1,"Yes","No")</f>
        <v>No</v>
      </c>
    </row>
    <row r="23" spans="1:12" x14ac:dyDescent="0.5">
      <c r="A23" t="s">
        <v>106</v>
      </c>
      <c r="B23" t="s">
        <v>107</v>
      </c>
      <c r="C23" t="s">
        <v>108</v>
      </c>
      <c r="D23" t="s">
        <v>44</v>
      </c>
      <c r="E23" t="s">
        <v>109</v>
      </c>
      <c r="F23" t="s">
        <v>27</v>
      </c>
      <c r="G23" t="s">
        <v>110</v>
      </c>
      <c r="H23" t="s">
        <v>15</v>
      </c>
      <c r="I23" s="6" t="str" cm="1">
        <f t="array" ref="I23">_xlfn.SWITCH(LEFT(UPPER(TRIM(sales[[#This Row],[Region]])),1),"N","North","S","South","E","East","W","West","Unknown")</f>
        <v>North</v>
      </c>
      <c r="J23" s="7">
        <f>IF(sales[[#This Row],[Amount]]="",0,IFERROR(VALUE(SUBSTITUTE(SUBSTITUTE(sales[[#This Row],[Amount]],"$",""),",","")),sales[[#This Row],[Amount]]))</f>
        <v>13500</v>
      </c>
      <c r="K23" s="8">
        <f>IFERROR(DATEVALUE(sales[[#This Row],[Date]]),sales[[#This Row],[Date]])</f>
        <v>46189</v>
      </c>
      <c r="L23" s="8" t="str">
        <f>IF(COUNTIF(sales[Transaction ID],sales[[#This Row],[Transaction ID]])&gt;1,"Yes","No")</f>
        <v>No</v>
      </c>
    </row>
    <row r="24" spans="1:12" x14ac:dyDescent="0.5">
      <c r="A24" t="s">
        <v>111</v>
      </c>
      <c r="B24" t="s">
        <v>112</v>
      </c>
      <c r="C24" t="s">
        <v>50</v>
      </c>
      <c r="D24" t="s">
        <v>25</v>
      </c>
      <c r="E24" t="s">
        <v>67</v>
      </c>
      <c r="F24" t="s">
        <v>13</v>
      </c>
      <c r="G24" t="s">
        <v>14</v>
      </c>
      <c r="H24" t="s">
        <v>47</v>
      </c>
      <c r="I24" s="6" t="str" cm="1">
        <f t="array" ref="I24">_xlfn.SWITCH(LEFT(UPPER(TRIM(sales[[#This Row],[Region]])),1),"N","North","S","South","E","East","W","West","Unknown")</f>
        <v>South</v>
      </c>
      <c r="J24" s="7">
        <f>IF(sales[[#This Row],[Amount]]="",0,IFERROR(VALUE(SUBSTITUTE(SUBSTITUTE(sales[[#This Row],[Amount]],"$",""),",","")),sales[[#This Row],[Amount]]))</f>
        <v>4250</v>
      </c>
      <c r="K24" s="8">
        <f>IFERROR(DATEVALUE(sales[[#This Row],[Date]]),sales[[#This Row],[Date]])</f>
        <v>46190</v>
      </c>
      <c r="L24" s="8" t="str">
        <f>IF(COUNTIF(sales[Transaction ID],sales[[#This Row],[Transaction ID]])&gt;1,"Yes","No")</f>
        <v>No</v>
      </c>
    </row>
    <row r="25" spans="1:12" x14ac:dyDescent="0.5">
      <c r="A25" t="s">
        <v>113</v>
      </c>
      <c r="B25" t="s">
        <v>114</v>
      </c>
      <c r="C25" t="s">
        <v>115</v>
      </c>
      <c r="D25" t="s">
        <v>38</v>
      </c>
      <c r="E25" t="s">
        <v>116</v>
      </c>
      <c r="F25" t="s">
        <v>40</v>
      </c>
      <c r="G25">
        <v>750</v>
      </c>
      <c r="H25" t="s">
        <v>15</v>
      </c>
      <c r="I25" s="6" t="str" cm="1">
        <f t="array" ref="I25">_xlfn.SWITCH(LEFT(UPPER(TRIM(sales[[#This Row],[Region]])),1),"N","North","S","South","E","East","W","West","Unknown")</f>
        <v>East</v>
      </c>
      <c r="J25" s="7">
        <f>IF(sales[[#This Row],[Amount]]="",0,IFERROR(VALUE(SUBSTITUTE(SUBSTITUTE(sales[[#This Row],[Amount]],"$",""),",","")),sales[[#This Row],[Amount]]))</f>
        <v>750</v>
      </c>
      <c r="K25" s="8">
        <f>IFERROR(DATEVALUE(sales[[#This Row],[Date]]),sales[[#This Row],[Date]])</f>
        <v>46190</v>
      </c>
      <c r="L25" s="8" t="str">
        <f>IF(COUNTIF(sales[Transaction ID],sales[[#This Row],[Transaction ID]])&gt;1,"Yes","No")</f>
        <v>No</v>
      </c>
    </row>
    <row r="26" spans="1:12" x14ac:dyDescent="0.5">
      <c r="A26" t="s">
        <v>117</v>
      </c>
      <c r="B26" t="s">
        <v>118</v>
      </c>
      <c r="C26" t="s">
        <v>75</v>
      </c>
      <c r="D26" t="s">
        <v>60</v>
      </c>
      <c r="E26" t="s">
        <v>61</v>
      </c>
      <c r="F26" t="s">
        <v>13</v>
      </c>
      <c r="H26" t="s">
        <v>15</v>
      </c>
      <c r="I26" s="6" t="str" cm="1">
        <f t="array" ref="I26">_xlfn.SWITCH(LEFT(UPPER(TRIM(sales[[#This Row],[Region]])),1),"N","North","S","South","E","East","W","West","Unknown")</f>
        <v>West</v>
      </c>
      <c r="J26" s="7">
        <f>IF(sales[[#This Row],[Amount]]="",0,IFERROR(VALUE(SUBSTITUTE(SUBSTITUTE(sales[[#This Row],[Amount]],"$",""),",","")),sales[[#This Row],[Amount]]))</f>
        <v>0</v>
      </c>
      <c r="K26" s="8">
        <f>IFERROR(DATEVALUE(sales[[#This Row],[Date]]),sales[[#This Row],[Date]])</f>
        <v>46191</v>
      </c>
      <c r="L26" s="8" t="str">
        <f>IF(COUNTIF(sales[Transaction ID],sales[[#This Row],[Transaction ID]])&gt;1,"Yes","No")</f>
        <v>No</v>
      </c>
    </row>
    <row r="27" spans="1:12" x14ac:dyDescent="0.5">
      <c r="A27" t="s">
        <v>119</v>
      </c>
      <c r="B27" t="s">
        <v>120</v>
      </c>
      <c r="C27" t="s">
        <v>43</v>
      </c>
      <c r="D27" t="s">
        <v>44</v>
      </c>
      <c r="E27" t="s">
        <v>52</v>
      </c>
      <c r="F27" t="s">
        <v>68</v>
      </c>
      <c r="G27" t="s">
        <v>46</v>
      </c>
      <c r="H27" t="s">
        <v>15</v>
      </c>
      <c r="I27" s="6" t="str" cm="1">
        <f t="array" ref="I27">_xlfn.SWITCH(LEFT(UPPER(TRIM(sales[[#This Row],[Region]])),1),"N","North","S","South","E","East","W","West","Unknown")</f>
        <v>North</v>
      </c>
      <c r="J27" s="7">
        <f>IF(sales[[#This Row],[Amount]]="",0,IFERROR(VALUE(SUBSTITUTE(SUBSTITUTE(sales[[#This Row],[Amount]],"$",""),",","")),sales[[#This Row],[Amount]]))</f>
        <v>1100</v>
      </c>
      <c r="K27" s="8">
        <f>IFERROR(DATEVALUE(sales[[#This Row],[Date]]),sales[[#This Row],[Date]])</f>
        <v>46191</v>
      </c>
      <c r="L27" s="8" t="str">
        <f>IF(COUNTIF(sales[Transaction ID],sales[[#This Row],[Transaction ID]])&gt;1,"Yes","No")</f>
        <v>No</v>
      </c>
    </row>
    <row r="28" spans="1:12" x14ac:dyDescent="0.5">
      <c r="A28" t="s">
        <v>121</v>
      </c>
      <c r="B28" t="s">
        <v>122</v>
      </c>
      <c r="C28" t="s">
        <v>84</v>
      </c>
      <c r="D28" t="s">
        <v>51</v>
      </c>
      <c r="E28" t="s">
        <v>57</v>
      </c>
      <c r="F28" t="s">
        <v>27</v>
      </c>
      <c r="G28">
        <v>12500</v>
      </c>
      <c r="H28" t="s">
        <v>34</v>
      </c>
      <c r="I28" s="6" t="str" cm="1">
        <f t="array" ref="I28">_xlfn.SWITCH(LEFT(UPPER(TRIM(sales[[#This Row],[Region]])),1),"N","North","S","South","E","East","W","West","Unknown")</f>
        <v>South</v>
      </c>
      <c r="J28" s="7">
        <f>IF(sales[[#This Row],[Amount]]="",0,IFERROR(VALUE(SUBSTITUTE(SUBSTITUTE(sales[[#This Row],[Amount]],"$",""),",","")),sales[[#This Row],[Amount]]))</f>
        <v>12500</v>
      </c>
      <c r="K28" s="8">
        <f>IFERROR(DATEVALUE(sales[[#This Row],[Date]]),sales[[#This Row],[Date]])</f>
        <v>46192</v>
      </c>
      <c r="L28" s="8" t="str">
        <f>IF(COUNTIF(sales[Transaction ID],sales[[#This Row],[Transaction ID]])&gt;1,"Yes","No")</f>
        <v>No</v>
      </c>
    </row>
    <row r="29" spans="1:12" x14ac:dyDescent="0.5">
      <c r="A29" t="s">
        <v>123</v>
      </c>
      <c r="B29" t="s">
        <v>124</v>
      </c>
      <c r="C29" t="s">
        <v>71</v>
      </c>
      <c r="D29" t="s">
        <v>56</v>
      </c>
      <c r="E29" t="s">
        <v>12</v>
      </c>
      <c r="F29" t="s">
        <v>13</v>
      </c>
      <c r="G29" t="s">
        <v>14</v>
      </c>
      <c r="H29" t="s">
        <v>47</v>
      </c>
      <c r="I29" s="6" t="str" cm="1">
        <f t="array" ref="I29">_xlfn.SWITCH(LEFT(UPPER(TRIM(sales[[#This Row],[Region]])),1),"N","North","S","South","E","East","W","West","Unknown")</f>
        <v>East</v>
      </c>
      <c r="J29" s="7">
        <f>IF(sales[[#This Row],[Amount]]="",0,IFERROR(VALUE(SUBSTITUTE(SUBSTITUTE(sales[[#This Row],[Amount]],"$",""),",","")),sales[[#This Row],[Amount]]))</f>
        <v>4250</v>
      </c>
      <c r="K29" s="8">
        <f>IFERROR(DATEVALUE(sales[[#This Row],[Date]]),sales[[#This Row],[Date]])</f>
        <v>46192</v>
      </c>
      <c r="L29" s="8" t="str">
        <f>IF(COUNTIF(sales[Transaction ID],sales[[#This Row],[Transaction ID]])&gt;1,"Yes","No")</f>
        <v>No</v>
      </c>
    </row>
    <row r="30" spans="1:12" x14ac:dyDescent="0.5">
      <c r="A30" t="s">
        <v>125</v>
      </c>
      <c r="B30" t="s">
        <v>126</v>
      </c>
      <c r="C30" t="s">
        <v>75</v>
      </c>
      <c r="D30" t="s">
        <v>11</v>
      </c>
      <c r="E30" t="s">
        <v>32</v>
      </c>
      <c r="F30" t="s">
        <v>40</v>
      </c>
      <c r="G30" t="s">
        <v>62</v>
      </c>
      <c r="H30" t="s">
        <v>15</v>
      </c>
      <c r="I30" s="6" t="str" cm="1">
        <f t="array" ref="I30">_xlfn.SWITCH(LEFT(UPPER(TRIM(sales[[#This Row],[Region]])),1),"N","North","S","South","E","East","W","West","Unknown")</f>
        <v>West</v>
      </c>
      <c r="J30" s="7">
        <f>IF(sales[[#This Row],[Amount]]="",0,IFERROR(VALUE(SUBSTITUTE(SUBSTITUTE(sales[[#This Row],[Amount]],"$",""),",","")),sales[[#This Row],[Amount]]))</f>
        <v>750</v>
      </c>
      <c r="K30" s="8">
        <f>IFERROR(DATEVALUE(sales[[#This Row],[Date]]),sales[[#This Row],[Date]])</f>
        <v>46195</v>
      </c>
      <c r="L30" s="8" t="str">
        <f>IF(COUNTIF(sales[Transaction ID],sales[[#This Row],[Transaction ID]])&gt;1,"Yes","No")</f>
        <v>No</v>
      </c>
    </row>
    <row r="31" spans="1:12" x14ac:dyDescent="0.5">
      <c r="A31" t="s">
        <v>127</v>
      </c>
      <c r="B31" t="s">
        <v>128</v>
      </c>
      <c r="C31" t="s">
        <v>80</v>
      </c>
      <c r="D31" t="s">
        <v>19</v>
      </c>
      <c r="E31" t="s">
        <v>45</v>
      </c>
      <c r="F31" t="s">
        <v>13</v>
      </c>
      <c r="G31">
        <v>4250</v>
      </c>
      <c r="H31" t="s">
        <v>15</v>
      </c>
      <c r="I31" s="6" t="str" cm="1">
        <f t="array" ref="I31">_xlfn.SWITCH(LEFT(UPPER(TRIM(sales[[#This Row],[Region]])),1),"N","North","S","South","E","East","W","West","Unknown")</f>
        <v>North</v>
      </c>
      <c r="J31" s="7">
        <f>IF(sales[[#This Row],[Amount]]="",0,IFERROR(VALUE(SUBSTITUTE(SUBSTITUTE(sales[[#This Row],[Amount]],"$",""),",","")),sales[[#This Row],[Amount]]))</f>
        <v>4250</v>
      </c>
      <c r="K31" s="8">
        <f>IFERROR(DATEVALUE(sales[[#This Row],[Date]]),sales[[#This Row],[Date]])</f>
        <v>46195</v>
      </c>
      <c r="L31" s="8" t="str">
        <f>IF(COUNTIF(sales[Transaction ID],sales[[#This Row],[Transaction ID]])&gt;1,"Yes","No")</f>
        <v>No</v>
      </c>
    </row>
    <row r="32" spans="1:12" x14ac:dyDescent="0.5">
      <c r="A32" t="s">
        <v>82</v>
      </c>
      <c r="B32" t="s">
        <v>86</v>
      </c>
      <c r="C32" t="s">
        <v>84</v>
      </c>
      <c r="D32" t="s">
        <v>51</v>
      </c>
      <c r="E32" t="s">
        <v>26</v>
      </c>
      <c r="F32" t="s">
        <v>13</v>
      </c>
      <c r="G32" t="s">
        <v>14</v>
      </c>
      <c r="H32" t="s">
        <v>15</v>
      </c>
      <c r="I32" s="6" t="str" cm="1">
        <f t="array" ref="I32">_xlfn.SWITCH(LEFT(UPPER(TRIM(sales[[#This Row],[Region]])),1),"N","North","S","South","E","East","W","West","Unknown")</f>
        <v>South</v>
      </c>
      <c r="J32" s="7">
        <f>IF(sales[[#This Row],[Amount]]="",0,IFERROR(VALUE(SUBSTITUTE(SUBSTITUTE(sales[[#This Row],[Amount]],"$",""),",","")),sales[[#This Row],[Amount]]))</f>
        <v>4250</v>
      </c>
      <c r="K32" s="8">
        <f>IFERROR(DATEVALUE(sales[[#This Row],[Date]]),sales[[#This Row],[Date]])</f>
        <v>46184</v>
      </c>
      <c r="L32" s="8" t="str">
        <f>IF(COUNTIF(sales[Transaction ID],sales[[#This Row],[Transaction ID]])&gt;1,"Yes","No")</f>
        <v>Yes</v>
      </c>
    </row>
    <row r="33" spans="1:12" x14ac:dyDescent="0.5">
      <c r="A33" t="s">
        <v>58</v>
      </c>
      <c r="B33" t="s">
        <v>59</v>
      </c>
      <c r="C33" t="s">
        <v>37</v>
      </c>
      <c r="D33" t="s">
        <v>11</v>
      </c>
      <c r="E33" t="s">
        <v>61</v>
      </c>
      <c r="F33" t="s">
        <v>40</v>
      </c>
      <c r="G33" t="s">
        <v>62</v>
      </c>
      <c r="H33" t="s">
        <v>47</v>
      </c>
      <c r="I33" s="6" t="str" cm="1">
        <f t="array" ref="I33">_xlfn.SWITCH(LEFT(UPPER(TRIM(sales[[#This Row],[Region]])),1),"N","North","S","South","E","East","W","West","Unknown")</f>
        <v>East</v>
      </c>
      <c r="J33" s="7">
        <f>IF(sales[[#This Row],[Amount]]="",0,IFERROR(VALUE(SUBSTITUTE(SUBSTITUTE(sales[[#This Row],[Amount]],"$",""),",","")),sales[[#This Row],[Amount]]))</f>
        <v>750</v>
      </c>
      <c r="K33" s="8">
        <f>IFERROR(DATEVALUE(sales[[#This Row],[Date]]),sales[[#This Row],[Date]])</f>
        <v>46181</v>
      </c>
      <c r="L33" s="8" t="str">
        <f>IF(COUNTIF(sales[Transaction ID],sales[[#This Row],[Transaction ID]])&gt;1,"Yes","No")</f>
        <v>Yes</v>
      </c>
    </row>
    <row r="34" spans="1:12" x14ac:dyDescent="0.5">
      <c r="A34" t="s">
        <v>129</v>
      </c>
      <c r="B34" t="s">
        <v>130</v>
      </c>
      <c r="C34" t="s">
        <v>131</v>
      </c>
      <c r="D34" t="s">
        <v>51</v>
      </c>
      <c r="E34" t="s">
        <v>52</v>
      </c>
      <c r="F34" t="s">
        <v>27</v>
      </c>
      <c r="G34" t="s">
        <v>132</v>
      </c>
      <c r="H34" t="s">
        <v>15</v>
      </c>
      <c r="I34" s="6" t="str" cm="1">
        <f t="array" ref="I34">_xlfn.SWITCH(LEFT(UPPER(TRIM(sales[[#This Row],[Region]])),1),"N","North","S","South","E","East","W","West","Unknown")</f>
        <v>South</v>
      </c>
      <c r="J34" s="7">
        <f>IF(sales[[#This Row],[Amount]]="",0,IFERROR(VALUE(SUBSTITUTE(SUBSTITUTE(sales[[#This Row],[Amount]],"$",""),",","")),sales[[#This Row],[Amount]]))</f>
        <v>11500</v>
      </c>
      <c r="K34" s="8">
        <f>IFERROR(DATEVALUE(sales[[#This Row],[Date]]),sales[[#This Row],[Date]])</f>
        <v>46196</v>
      </c>
      <c r="L34" s="8" t="str">
        <f>IF(COUNTIF(sales[Transaction ID],sales[[#This Row],[Transaction ID]])&gt;1,"Yes","No")</f>
        <v>No</v>
      </c>
    </row>
    <row r="35" spans="1:12" x14ac:dyDescent="0.5">
      <c r="A35" t="s">
        <v>133</v>
      </c>
      <c r="B35" t="s">
        <v>134</v>
      </c>
      <c r="C35" t="s">
        <v>37</v>
      </c>
      <c r="D35" t="s">
        <v>38</v>
      </c>
      <c r="E35" t="s">
        <v>109</v>
      </c>
      <c r="F35" t="s">
        <v>13</v>
      </c>
      <c r="G35">
        <v>4250</v>
      </c>
      <c r="H35" t="s">
        <v>15</v>
      </c>
      <c r="I35" s="6" t="str" cm="1">
        <f t="array" ref="I35">_xlfn.SWITCH(LEFT(UPPER(TRIM(sales[[#This Row],[Region]])),1),"N","North","S","South","E","East","W","West","Unknown")</f>
        <v>East</v>
      </c>
      <c r="J35" s="7">
        <f>IF(sales[[#This Row],[Amount]]="",0,IFERROR(VALUE(SUBSTITUTE(SUBSTITUTE(sales[[#This Row],[Amount]],"$",""),",","")),sales[[#This Row],[Amount]]))</f>
        <v>4250</v>
      </c>
      <c r="K35" s="8">
        <f>IFERROR(DATEVALUE(sales[[#This Row],[Date]]),sales[[#This Row],[Date]])</f>
        <v>46196</v>
      </c>
      <c r="L35" s="8" t="str">
        <f>IF(COUNTIF(sales[Transaction ID],sales[[#This Row],[Transaction ID]])&gt;1,"Yes","No")</f>
        <v>No</v>
      </c>
    </row>
    <row r="36" spans="1:12" x14ac:dyDescent="0.5">
      <c r="A36" t="s">
        <v>135</v>
      </c>
      <c r="B36" t="s">
        <v>136</v>
      </c>
      <c r="C36" t="s">
        <v>137</v>
      </c>
      <c r="D36" t="s">
        <v>76</v>
      </c>
      <c r="E36" t="s">
        <v>26</v>
      </c>
      <c r="F36" t="s">
        <v>21</v>
      </c>
      <c r="G36" t="s">
        <v>46</v>
      </c>
      <c r="H36" t="s">
        <v>47</v>
      </c>
      <c r="I36" s="6" t="str" cm="1">
        <f t="array" ref="I36">_xlfn.SWITCH(LEFT(UPPER(TRIM(sales[[#This Row],[Region]])),1),"N","North","S","South","E","East","W","West","Unknown")</f>
        <v>West</v>
      </c>
      <c r="J36" s="7">
        <f>IF(sales[[#This Row],[Amount]]="",0,IFERROR(VALUE(SUBSTITUTE(SUBSTITUTE(sales[[#This Row],[Amount]],"$",""),",","")),sales[[#This Row],[Amount]]))</f>
        <v>1100</v>
      </c>
      <c r="K36" s="8">
        <f>IFERROR(DATEVALUE(sales[[#This Row],[Date]]),sales[[#This Row],[Date]])</f>
        <v>46197</v>
      </c>
      <c r="L36" s="8" t="str">
        <f>IF(COUNTIF(sales[Transaction ID],sales[[#This Row],[Transaction ID]])&gt;1,"Yes","No")</f>
        <v>No</v>
      </c>
    </row>
    <row r="37" spans="1:12" x14ac:dyDescent="0.5">
      <c r="A37" t="s">
        <v>138</v>
      </c>
      <c r="B37" t="s">
        <v>139</v>
      </c>
      <c r="C37" t="s">
        <v>10</v>
      </c>
      <c r="D37" t="s">
        <v>44</v>
      </c>
      <c r="E37" t="s">
        <v>67</v>
      </c>
      <c r="F37" t="s">
        <v>40</v>
      </c>
      <c r="G37" t="s">
        <v>62</v>
      </c>
      <c r="H37" t="s">
        <v>15</v>
      </c>
      <c r="I37" s="6" t="str" cm="1">
        <f t="array" ref="I37">_xlfn.SWITCH(LEFT(UPPER(TRIM(sales[[#This Row],[Region]])),1),"N","North","S","South","E","East","W","West","Unknown")</f>
        <v>North</v>
      </c>
      <c r="J37" s="7">
        <f>IF(sales[[#This Row],[Amount]]="",0,IFERROR(VALUE(SUBSTITUTE(SUBSTITUTE(sales[[#This Row],[Amount]],"$",""),",","")),sales[[#This Row],[Amount]]))</f>
        <v>750</v>
      </c>
      <c r="K37" s="8">
        <f>IFERROR(DATEVALUE(sales[[#This Row],[Date]]),sales[[#This Row],[Date]])</f>
        <v>46197</v>
      </c>
      <c r="L37" s="8" t="str">
        <f>IF(COUNTIF(sales[Transaction ID],sales[[#This Row],[Transaction ID]])&gt;1,"Yes","No")</f>
        <v>No</v>
      </c>
    </row>
    <row r="38" spans="1:12" x14ac:dyDescent="0.5">
      <c r="A38" t="s">
        <v>140</v>
      </c>
      <c r="B38" t="s">
        <v>141</v>
      </c>
      <c r="C38" t="s">
        <v>50</v>
      </c>
      <c r="D38" t="s">
        <v>99</v>
      </c>
      <c r="E38" t="s">
        <v>45</v>
      </c>
      <c r="F38" t="s">
        <v>27</v>
      </c>
      <c r="G38">
        <v>14000</v>
      </c>
      <c r="H38" t="s">
        <v>15</v>
      </c>
      <c r="I38" s="6" t="str" cm="1">
        <f t="array" ref="I38">_xlfn.SWITCH(LEFT(UPPER(TRIM(sales[[#This Row],[Region]])),1),"N","North","S","South","E","East","W","West","Unknown")</f>
        <v>South</v>
      </c>
      <c r="J38" s="7">
        <f>IF(sales[[#This Row],[Amount]]="",0,IFERROR(VALUE(SUBSTITUTE(SUBSTITUTE(sales[[#This Row],[Amount]],"$",""),",","")),sales[[#This Row],[Amount]]))</f>
        <v>14000</v>
      </c>
      <c r="K38" s="8">
        <f>IFERROR(DATEVALUE(sales[[#This Row],[Date]]),sales[[#This Row],[Date]])</f>
        <v>46198</v>
      </c>
      <c r="L38" s="8" t="str">
        <f>IF(COUNTIF(sales[Transaction ID],sales[[#This Row],[Transaction ID]])&gt;1,"Yes","No")</f>
        <v>No</v>
      </c>
    </row>
    <row r="39" spans="1:12" x14ac:dyDescent="0.5">
      <c r="A39" t="s">
        <v>142</v>
      </c>
      <c r="B39" t="s">
        <v>143</v>
      </c>
      <c r="C39" t="s">
        <v>87</v>
      </c>
      <c r="D39" t="s">
        <v>38</v>
      </c>
      <c r="E39" t="s">
        <v>81</v>
      </c>
      <c r="F39" t="s">
        <v>13</v>
      </c>
      <c r="G39" t="s">
        <v>14</v>
      </c>
      <c r="H39" t="s">
        <v>34</v>
      </c>
      <c r="I39" s="6" t="str" cm="1">
        <f t="array" ref="I39">_xlfn.SWITCH(LEFT(UPPER(TRIM(sales[[#This Row],[Region]])),1),"N","North","S","South","E","East","W","West","Unknown")</f>
        <v>East</v>
      </c>
      <c r="J39" s="7">
        <f>IF(sales[[#This Row],[Amount]]="",0,IFERROR(VALUE(SUBSTITUTE(SUBSTITUTE(sales[[#This Row],[Amount]],"$",""),",","")),sales[[#This Row],[Amount]]))</f>
        <v>4250</v>
      </c>
      <c r="K39" s="8">
        <f>IFERROR(DATEVALUE(sales[[#This Row],[Date]]),sales[[#This Row],[Date]])</f>
        <v>46198</v>
      </c>
      <c r="L39" s="8" t="str">
        <f>IF(COUNTIF(sales[Transaction ID],sales[[#This Row],[Transaction ID]])&gt;1,"Yes","No")</f>
        <v>No</v>
      </c>
    </row>
    <row r="40" spans="1:12" x14ac:dyDescent="0.5">
      <c r="A40" t="s">
        <v>144</v>
      </c>
      <c r="B40" t="s">
        <v>145</v>
      </c>
      <c r="C40" t="s">
        <v>75</v>
      </c>
      <c r="D40" t="s">
        <v>11</v>
      </c>
      <c r="E40" t="s">
        <v>52</v>
      </c>
      <c r="F40" t="s">
        <v>21</v>
      </c>
      <c r="G40">
        <v>1100</v>
      </c>
      <c r="H40" t="s">
        <v>15</v>
      </c>
      <c r="I40" s="6" t="str" cm="1">
        <f t="array" ref="I40">_xlfn.SWITCH(LEFT(UPPER(TRIM(sales[[#This Row],[Region]])),1),"N","North","S","South","E","East","W","West","Unknown")</f>
        <v>West</v>
      </c>
      <c r="J40" s="7">
        <f>IF(sales[[#This Row],[Amount]]="",0,IFERROR(VALUE(SUBSTITUTE(SUBSTITUTE(sales[[#This Row],[Amount]],"$",""),",","")),sales[[#This Row],[Amount]]))</f>
        <v>1100</v>
      </c>
      <c r="K40" s="8">
        <f>IFERROR(DATEVALUE(sales[[#This Row],[Date]]),sales[[#This Row],[Date]])</f>
        <v>46199</v>
      </c>
      <c r="L40" s="8" t="str">
        <f>IF(COUNTIF(sales[Transaction ID],sales[[#This Row],[Transaction ID]])&gt;1,"Yes","No")</f>
        <v>No</v>
      </c>
    </row>
    <row r="41" spans="1:12" x14ac:dyDescent="0.5">
      <c r="A41" t="s">
        <v>146</v>
      </c>
      <c r="B41" t="s">
        <v>147</v>
      </c>
      <c r="C41" t="s">
        <v>80</v>
      </c>
      <c r="D41" t="s">
        <v>19</v>
      </c>
      <c r="E41" t="s">
        <v>12</v>
      </c>
      <c r="F41" t="s">
        <v>33</v>
      </c>
      <c r="G41" t="s">
        <v>14</v>
      </c>
      <c r="H41" t="s">
        <v>15</v>
      </c>
      <c r="I41" s="6" t="str" cm="1">
        <f t="array" ref="I41">_xlfn.SWITCH(LEFT(UPPER(TRIM(sales[[#This Row],[Region]])),1),"N","North","S","South","E","East","W","West","Unknown")</f>
        <v>North</v>
      </c>
      <c r="J41" s="7">
        <f>IF(sales[[#This Row],[Amount]]="",0,IFERROR(VALUE(SUBSTITUTE(SUBSTITUTE(sales[[#This Row],[Amount]],"$",""),",","")),sales[[#This Row],[Amount]]))</f>
        <v>4250</v>
      </c>
      <c r="K41" s="8">
        <f>IFERROR(DATEVALUE(sales[[#This Row],[Date]]),sales[[#This Row],[Date]])</f>
        <v>46199</v>
      </c>
      <c r="L41" s="8" t="str">
        <f>IF(COUNTIF(sales[Transaction ID],sales[[#This Row],[Transaction ID]])&gt;1,"Yes","No")</f>
        <v>No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16242-10D4-497D-A1F6-1E7CDDBFAF23}">
  <dimension ref="A1:B6"/>
  <sheetViews>
    <sheetView zoomScale="70" zoomScaleNormal="70" workbookViewId="0">
      <selection activeCell="A4" sqref="A4"/>
    </sheetView>
  </sheetViews>
  <sheetFormatPr defaultRowHeight="14.35" x14ac:dyDescent="0.5"/>
  <cols>
    <col min="1" max="1" width="12.05859375" bestFit="1" customWidth="1"/>
    <col min="2" max="2" width="9.3515625" bestFit="1" customWidth="1"/>
  </cols>
  <sheetData>
    <row r="1" spans="1:2" x14ac:dyDescent="0.5">
      <c r="A1" s="4" t="s">
        <v>152</v>
      </c>
      <c r="B1" t="s">
        <v>154</v>
      </c>
    </row>
    <row r="2" spans="1:2" x14ac:dyDescent="0.5">
      <c r="A2" s="5" t="s">
        <v>84</v>
      </c>
      <c r="B2" s="3">
        <v>57950</v>
      </c>
    </row>
    <row r="3" spans="1:2" x14ac:dyDescent="0.5">
      <c r="A3" s="5" t="s">
        <v>10</v>
      </c>
      <c r="B3" s="3">
        <v>46200</v>
      </c>
    </row>
    <row r="4" spans="1:2" x14ac:dyDescent="0.5">
      <c r="A4" s="5" t="s">
        <v>75</v>
      </c>
      <c r="B4" s="3">
        <v>39300</v>
      </c>
    </row>
    <row r="5" spans="1:2" x14ac:dyDescent="0.5">
      <c r="A5" s="5" t="s">
        <v>37</v>
      </c>
      <c r="B5" s="3">
        <v>25350</v>
      </c>
    </row>
    <row r="6" spans="1:2" x14ac:dyDescent="0.5">
      <c r="A6" s="5" t="s">
        <v>153</v>
      </c>
      <c r="B6" s="3">
        <v>168800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Q2 Export</vt:lpstr>
      <vt:lpstr>Region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2026-06-29T19:27:23Z</dcterms:created>
  <dcterms:modified xsi:type="dcterms:W3CDTF">2026-06-30T17:24:27Z</dcterms:modified>
</cp:coreProperties>
</file>